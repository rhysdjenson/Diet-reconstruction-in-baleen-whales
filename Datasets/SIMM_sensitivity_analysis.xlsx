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hysjenson/Documents/Publications Working Directory/SIA v WGS Paper/Code/"/>
    </mc:Choice>
  </mc:AlternateContent>
  <xr:revisionPtr revIDLastSave="0" documentId="8_{CD7E08A3-D21F-C44E-8F65-1C54CC4ABE9D}" xr6:coauthVersionLast="47" xr6:coauthVersionMax="47" xr10:uidLastSave="{00000000-0000-0000-0000-000000000000}"/>
  <bookViews>
    <workbookView xWindow="3920" yWindow="3360" windowWidth="28040" windowHeight="17440" xr2:uid="{96745F7B-6BD8-A049-B918-36BF92AB97E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V4" i="1" l="1"/>
  <c r="V5" i="1"/>
  <c r="V3" i="1"/>
  <c r="Q4" i="1"/>
  <c r="Q5" i="1"/>
  <c r="Q3" i="1"/>
  <c r="L4" i="1"/>
  <c r="L5" i="1"/>
  <c r="L3" i="1"/>
  <c r="G5" i="1"/>
  <c r="G4" i="1"/>
  <c r="G3" i="1"/>
</calcChain>
</file>

<file path=xl/sharedStrings.xml><?xml version="1.0" encoding="utf-8"?>
<sst xmlns="http://schemas.openxmlformats.org/spreadsheetml/2006/main" count="49" uniqueCount="14">
  <si>
    <t>mean</t>
  </si>
  <si>
    <t>sd</t>
  </si>
  <si>
    <t>Source</t>
  </si>
  <si>
    <t>Krill</t>
  </si>
  <si>
    <t>Juvenile Herring</t>
  </si>
  <si>
    <t>Adult Herring</t>
  </si>
  <si>
    <t>Base Model</t>
  </si>
  <si>
    <t>D15N</t>
  </si>
  <si>
    <t>D13C</t>
  </si>
  <si>
    <t>Increase D15N by 50%</t>
  </si>
  <si>
    <t>Decrease D15N by 50%</t>
  </si>
  <si>
    <t>Increase D13C by 50%</t>
  </si>
  <si>
    <t>Decrease D13C by 50%</t>
  </si>
  <si>
    <t>% diff 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</si>
</sst>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FDD75-3526-084D-BC4F-F3C490B34DC4}">
  <dimension ref="A1:W8"/>
  <sheetViews>
    <sheetView tabSelected="1" topLeftCell="F1" workbookViewId="0">
      <selection activeCell="G4" sqref="G4"/>
    </sheetView>
  </sheetViews>
  <sheetFormatPr baseColWidth="10" defaultRowHeight="16" x14ac:dyDescent="0.2"/>
  <cols>
    <col min="1" max="1" width="15" customWidth="1"/>
    <col min="5" max="5" width="15.33203125" customWidth="1"/>
    <col min="10" max="10" width="15.33203125" customWidth="1"/>
    <col min="15" max="15" width="15.33203125" customWidth="1"/>
    <col min="20" max="20" width="15.33203125" customWidth="1"/>
  </cols>
  <sheetData>
    <row r="1" spans="1:23" x14ac:dyDescent="0.2">
      <c r="A1" s="1" t="s">
        <v>6</v>
      </c>
      <c r="B1" s="1"/>
      <c r="C1" s="1"/>
      <c r="E1" s="1" t="s">
        <v>9</v>
      </c>
      <c r="F1" s="1"/>
      <c r="G1" s="1"/>
      <c r="H1" s="2"/>
      <c r="J1" s="1" t="s">
        <v>10</v>
      </c>
      <c r="K1" s="1"/>
      <c r="L1" s="1"/>
      <c r="M1" s="2"/>
      <c r="O1" s="1" t="s">
        <v>11</v>
      </c>
      <c r="P1" s="1"/>
      <c r="Q1" s="1"/>
      <c r="R1" s="2"/>
      <c r="T1" s="1" t="s">
        <v>12</v>
      </c>
      <c r="U1" s="1"/>
      <c r="V1" s="1"/>
    </row>
    <row r="2" spans="1:23" x14ac:dyDescent="0.2">
      <c r="A2" t="s">
        <v>2</v>
      </c>
      <c r="B2" t="s">
        <v>0</v>
      </c>
      <c r="C2" t="s">
        <v>1</v>
      </c>
      <c r="E2" t="s">
        <v>2</v>
      </c>
      <c r="F2" t="s">
        <v>0</v>
      </c>
      <c r="G2" t="s">
        <v>13</v>
      </c>
      <c r="H2" t="s">
        <v>1</v>
      </c>
      <c r="J2" t="s">
        <v>2</v>
      </c>
      <c r="K2" t="s">
        <v>0</v>
      </c>
      <c r="L2" t="s">
        <v>13</v>
      </c>
      <c r="M2" t="s">
        <v>1</v>
      </c>
      <c r="O2" t="s">
        <v>2</v>
      </c>
      <c r="P2" t="s">
        <v>0</v>
      </c>
      <c r="Q2" t="s">
        <v>13</v>
      </c>
      <c r="R2" t="s">
        <v>1</v>
      </c>
      <c r="T2" t="s">
        <v>2</v>
      </c>
      <c r="U2" t="s">
        <v>0</v>
      </c>
      <c r="V2" t="s">
        <v>13</v>
      </c>
      <c r="W2" t="s">
        <v>1</v>
      </c>
    </row>
    <row r="3" spans="1:23" x14ac:dyDescent="0.2">
      <c r="A3" t="s">
        <v>3</v>
      </c>
      <c r="B3">
        <v>0.64300000000000002</v>
      </c>
      <c r="C3">
        <v>0.1</v>
      </c>
      <c r="E3" t="s">
        <v>3</v>
      </c>
      <c r="F3">
        <v>0.71399999999999997</v>
      </c>
      <c r="G3">
        <f>(F3-B3)*100</f>
        <v>7.0999999999999952</v>
      </c>
      <c r="H3">
        <v>0.125</v>
      </c>
      <c r="J3" t="s">
        <v>3</v>
      </c>
      <c r="K3">
        <v>0.5</v>
      </c>
      <c r="L3">
        <f>(K3-B3)*100</f>
        <v>-14.3</v>
      </c>
      <c r="M3">
        <v>9.1999999999999998E-2</v>
      </c>
      <c r="O3" t="s">
        <v>3</v>
      </c>
      <c r="P3">
        <v>0.59599999999999997</v>
      </c>
      <c r="Q3">
        <f>(P3-F3)*100</f>
        <v>-11.799999999999999</v>
      </c>
      <c r="R3">
        <v>0.11700000000000001</v>
      </c>
      <c r="T3" t="s">
        <v>3</v>
      </c>
      <c r="U3">
        <v>0.68400000000000005</v>
      </c>
      <c r="V3">
        <f>(U3-B3)*100</f>
        <v>4.1000000000000032</v>
      </c>
      <c r="W3">
        <v>9.1999999999999998E-2</v>
      </c>
    </row>
    <row r="4" spans="1:23" x14ac:dyDescent="0.2">
      <c r="A4" t="s">
        <v>4</v>
      </c>
      <c r="B4">
        <v>0.20100000000000001</v>
      </c>
      <c r="C4">
        <v>0.111</v>
      </c>
      <c r="E4" t="s">
        <v>4</v>
      </c>
      <c r="F4">
        <v>0.157</v>
      </c>
      <c r="G4">
        <f>(F4-B4)*100</f>
        <v>-4.4000000000000012</v>
      </c>
      <c r="H4">
        <v>0.107</v>
      </c>
      <c r="J4" t="s">
        <v>4</v>
      </c>
      <c r="K4">
        <v>0.3</v>
      </c>
      <c r="L4">
        <f>(K4-B4)*100</f>
        <v>9.8999999999999986</v>
      </c>
      <c r="M4">
        <v>0.13900000000000001</v>
      </c>
      <c r="O4" t="s">
        <v>4</v>
      </c>
      <c r="P4">
        <v>0.20499999999999999</v>
      </c>
      <c r="Q4">
        <f t="shared" ref="Q4:Q5" si="0">(P4-F4)*100</f>
        <v>4.7999999999999989</v>
      </c>
      <c r="R4">
        <v>0.124</v>
      </c>
      <c r="T4" t="s">
        <v>4</v>
      </c>
      <c r="U4">
        <v>0.19</v>
      </c>
      <c r="V4">
        <f t="shared" ref="V4:V5" si="1">(U4-B4)*100</f>
        <v>-1.100000000000001</v>
      </c>
      <c r="W4">
        <v>0.10199999999999999</v>
      </c>
    </row>
    <row r="5" spans="1:23" x14ac:dyDescent="0.2">
      <c r="A5" t="s">
        <v>5</v>
      </c>
      <c r="B5">
        <v>0.156</v>
      </c>
      <c r="C5">
        <v>8.1000000000000003E-2</v>
      </c>
      <c r="E5" t="s">
        <v>5</v>
      </c>
      <c r="F5">
        <v>0.129</v>
      </c>
      <c r="G5">
        <f>(F5-B5)*100</f>
        <v>-2.6999999999999997</v>
      </c>
      <c r="H5">
        <v>7.9000000000000001E-2</v>
      </c>
      <c r="J5" t="s">
        <v>5</v>
      </c>
      <c r="K5">
        <v>0.2</v>
      </c>
      <c r="L5">
        <f t="shared" ref="L5" si="2">(K5-B5)*100</f>
        <v>4.4000000000000012</v>
      </c>
      <c r="M5">
        <v>9.7000000000000003E-2</v>
      </c>
      <c r="O5" t="s">
        <v>5</v>
      </c>
      <c r="P5">
        <v>0.19900000000000001</v>
      </c>
      <c r="Q5">
        <f t="shared" si="0"/>
        <v>7.0000000000000009</v>
      </c>
      <c r="R5">
        <v>9.8000000000000004E-2</v>
      </c>
      <c r="T5" t="s">
        <v>5</v>
      </c>
      <c r="U5">
        <v>0.126</v>
      </c>
      <c r="V5">
        <f t="shared" si="1"/>
        <v>-3</v>
      </c>
      <c r="W5">
        <v>6.9000000000000006E-2</v>
      </c>
    </row>
    <row r="7" spans="1:23" x14ac:dyDescent="0.2">
      <c r="A7" t="s">
        <v>7</v>
      </c>
      <c r="B7">
        <v>2</v>
      </c>
      <c r="E7" t="s">
        <v>7</v>
      </c>
      <c r="F7">
        <v>3</v>
      </c>
      <c r="J7" t="s">
        <v>7</v>
      </c>
      <c r="K7">
        <v>1</v>
      </c>
      <c r="O7" t="s">
        <v>7</v>
      </c>
      <c r="P7">
        <v>2</v>
      </c>
      <c r="T7" t="s">
        <v>7</v>
      </c>
      <c r="U7">
        <v>2</v>
      </c>
    </row>
    <row r="8" spans="1:23" x14ac:dyDescent="0.2">
      <c r="A8" t="s">
        <v>8</v>
      </c>
      <c r="B8">
        <v>-0.9</v>
      </c>
      <c r="E8" t="s">
        <v>8</v>
      </c>
      <c r="F8">
        <v>-0.9</v>
      </c>
      <c r="J8" t="s">
        <v>8</v>
      </c>
      <c r="K8">
        <v>-0.9</v>
      </c>
      <c r="O8" t="s">
        <v>8</v>
      </c>
      <c r="P8">
        <v>-1.35</v>
      </c>
      <c r="T8" t="s">
        <v>8</v>
      </c>
      <c r="U8">
        <v>-0.45</v>
      </c>
    </row>
  </sheetData>
  <mergeCells count="5">
    <mergeCell ref="A1:C1"/>
    <mergeCell ref="E1:G1"/>
    <mergeCell ref="J1:L1"/>
    <mergeCell ref="O1:Q1"/>
    <mergeCell ref="T1:V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rjenson@student.ubc.ca</dc:creator>
  <cp:lastModifiedBy>rjenson@student.ubc.ca</cp:lastModifiedBy>
  <dcterms:created xsi:type="dcterms:W3CDTF">2026-07-07T17:16:40Z</dcterms:created>
  <dcterms:modified xsi:type="dcterms:W3CDTF">2026-07-07T17:41:59Z</dcterms:modified>
</cp:coreProperties>
</file>